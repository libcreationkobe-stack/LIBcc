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KPI" sheetId="1" state="visible" r:id="rId1"/>
    <sheet name="指標の定義" sheetId="2" state="visible" r:id="rId2"/>
  </sheets>
  <definedNames>
    <definedName name="_xlnm._FilterDatabase" localSheetId="0" hidden="1">'月次KPI'!$A$2:$W$15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EDF3E9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08080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49" fontId="3" fillId="5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right" vertical="center"/>
    </xf>
    <xf numFmtId="3" fontId="0" fillId="6" borderId="2" applyAlignment="1" pivotButton="0" quotePrefix="0" xfId="0">
      <alignment horizontal="right" vertical="center"/>
    </xf>
    <xf numFmtId="164" fontId="0" fillId="6" borderId="2" applyAlignment="1" pivotButton="0" quotePrefix="0" xfId="0">
      <alignment horizontal="right" vertical="center"/>
    </xf>
    <xf numFmtId="10" fontId="0" fillId="6" borderId="2" applyAlignment="1" pivotButton="0" quotePrefix="0" xfId="0">
      <alignment horizontal="right" vertical="center"/>
    </xf>
    <xf numFmtId="165" fontId="0" fillId="6" borderId="2" applyAlignment="1" pivotButton="0" quotePrefix="0" xfId="0">
      <alignment horizontal="right" vertical="center"/>
    </xf>
    <xf numFmtId="0" fontId="3" fillId="7" borderId="3" applyAlignment="1" pivotButton="0" quotePrefix="0" xfId="0">
      <alignment horizontal="center" vertical="center"/>
    </xf>
    <xf numFmtId="3" fontId="3" fillId="7" borderId="3" applyAlignment="1" pivotButton="0" quotePrefix="0" xfId="0">
      <alignment horizontal="right" vertical="center"/>
    </xf>
    <xf numFmtId="164" fontId="3" fillId="7" borderId="3" applyAlignment="1" pivotButton="0" quotePrefix="0" xfId="0">
      <alignment horizontal="right" vertical="center"/>
    </xf>
    <xf numFmtId="10" fontId="3" fillId="7" borderId="3" applyAlignment="1" pivotButton="0" quotePrefix="0" xfId="0">
      <alignment horizontal="right" vertical="center"/>
    </xf>
    <xf numFmtId="165" fontId="3" fillId="7" borderId="3" applyAlignment="1" pivotButton="0" quotePrefix="0" xfId="0">
      <alignment horizontal="right" vertical="center"/>
    </xf>
    <xf numFmtId="0" fontId="3" fillId="7" borderId="2" applyAlignment="1" pivotButton="0" quotePrefix="0" xfId="0">
      <alignment horizontal="center" vertical="center"/>
    </xf>
    <xf numFmtId="165" fontId="3" fillId="7" borderId="2" applyAlignment="1" pivotButton="0" quotePrefix="0" xfId="0">
      <alignment horizontal="right" vertical="center"/>
    </xf>
    <xf numFmtId="3" fontId="3" fillId="7" borderId="2" applyAlignment="1" pivotButton="0" quotePrefix="0" xfId="0">
      <alignment horizontal="right" vertical="center"/>
    </xf>
    <xf numFmtId="164" fontId="3" fillId="7" borderId="2" applyAlignment="1" pivotButton="0" quotePrefix="0" xfId="0">
      <alignment horizontal="right" vertical="center"/>
    </xf>
    <xf numFmtId="10" fontId="3" fillId="7" borderId="2" applyAlignment="1" pivotButton="0" quotePrefix="0" xfId="0">
      <alignment horizontal="right" vertical="center"/>
    </xf>
    <xf numFmtId="0" fontId="1" fillId="2" borderId="0" pivotButton="0" quotePrefix="0" xfId="0"/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1E6B34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2" customWidth="1" min="4" max="4"/>
    <col width="15" customWidth="1" min="5" max="5"/>
    <col width="14" customWidth="1" min="6" max="6"/>
    <col width="11" customWidth="1" min="7" max="7"/>
    <col width="9" customWidth="1" min="8" max="8"/>
    <col width="15" customWidth="1" min="9" max="9"/>
    <col width="15" customWidth="1" min="10" max="10"/>
    <col width="16" customWidth="1" min="11" max="11"/>
    <col width="11" customWidth="1" min="12" max="12"/>
    <col width="13" customWidth="1" min="13" max="13"/>
    <col width="13" customWidth="1" min="14" max="14"/>
    <col width="15" customWidth="1" min="15" max="15"/>
    <col width="15" customWidth="1" min="16" max="16"/>
    <col width="14" customWidth="1" min="17" max="17"/>
    <col width="14" customWidth="1" min="18" max="18"/>
    <col width="13" customWidth="1" min="19" max="19"/>
    <col width="15" customWidth="1" min="20" max="20"/>
    <col width="16" customWidth="1" min="21" max="21"/>
    <col width="15" customWidth="1" min="22" max="22"/>
    <col width="13" customWidth="1" min="23" max="23"/>
  </cols>
  <sheetData>
    <row r="1" ht="24" customHeight="1">
      <c r="A1" s="1" t="inlineStr">
        <is>
          <t>Instagram採用 月次KPI（青＝入力欄／緑＝自動計算）</t>
        </is>
      </c>
    </row>
    <row r="2" ht="42" customHeight="1">
      <c r="A2" s="2" t="inlineStr">
        <is>
          <t>月</t>
        </is>
      </c>
      <c r="B2" s="2" t="inlineStr">
        <is>
          <t>投稿数</t>
        </is>
      </c>
      <c r="C2" s="2" t="inlineStr">
        <is>
          <t>インプレッション</t>
        </is>
      </c>
      <c r="D2" s="2" t="inlineStr">
        <is>
          <t>リーチ数</t>
        </is>
      </c>
      <c r="E2" s="2" t="inlineStr">
        <is>
          <t>プロフアクセス数</t>
        </is>
      </c>
      <c r="F2" s="2" t="inlineStr">
        <is>
          <t>リンクタップ数</t>
        </is>
      </c>
      <c r="G2" s="2" t="inlineStr">
        <is>
          <t>LINE登録</t>
        </is>
      </c>
      <c r="H2" s="2" t="inlineStr">
        <is>
          <t>面接</t>
        </is>
      </c>
      <c r="I2" s="2" t="inlineStr">
        <is>
          <t>採用数(LINE経由)</t>
        </is>
      </c>
      <c r="J2" s="2" t="inlineStr">
        <is>
          <t>その他問い合わせ</t>
        </is>
      </c>
      <c r="K2" s="2" t="inlineStr">
        <is>
          <t>採用数(その他経由)</t>
        </is>
      </c>
      <c r="L2" s="3" t="inlineStr">
        <is>
          <t>採用数 合計</t>
        </is>
      </c>
      <c r="M2" s="3" t="inlineStr">
        <is>
          <t>1投稿あたり
インプ</t>
        </is>
      </c>
      <c r="N2" s="3" t="inlineStr">
        <is>
          <t>リーチ率
(リーチ/インプ)</t>
        </is>
      </c>
      <c r="O2" s="3" t="inlineStr">
        <is>
          <t>プロフアクセス率
(プロフ/リーチ)</t>
        </is>
      </c>
      <c r="P2" s="3" t="inlineStr">
        <is>
          <t>リンクタップ率
(タップ/プロフ)</t>
        </is>
      </c>
      <c r="Q2" s="3" t="inlineStr">
        <is>
          <t>LINE登録率
(登録/タップ)</t>
        </is>
      </c>
      <c r="R2" s="3" t="inlineStr">
        <is>
          <t>面接率
(面接/LINE登録)</t>
        </is>
      </c>
      <c r="S2" s="3" t="inlineStr">
        <is>
          <t>採用率
(採用/面接)</t>
        </is>
      </c>
      <c r="T2" s="3" t="inlineStr">
        <is>
          <t>LINE→採用率
(採用/LINE登録)</t>
        </is>
      </c>
      <c r="U2" s="3" t="inlineStr">
        <is>
          <t>その他採用率
(採用/その他問合せ)</t>
        </is>
      </c>
      <c r="V2" s="3" t="inlineStr">
        <is>
          <t>リーチ→採用率
(採用合計/リーチ)</t>
        </is>
      </c>
      <c r="W2" s="3" t="inlineStr">
        <is>
          <t>1採用あたり
投稿数</t>
        </is>
      </c>
    </row>
    <row r="3" ht="20" customHeight="1">
      <c r="A3" s="4" t="inlineStr">
        <is>
          <t>8月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6">
        <f>IFERROR(IF(COUNT(I3:K3)=0,"",SUM(I3,K3)),"")</f>
        <v/>
      </c>
      <c r="M3" s="6">
        <f>IFERROR(C3/B3,"")</f>
        <v/>
      </c>
      <c r="N3" s="7">
        <f>IFERROR(D3/C3,"")</f>
        <v/>
      </c>
      <c r="O3" s="7">
        <f>IFERROR(E3/D3,"")</f>
        <v/>
      </c>
      <c r="P3" s="7">
        <f>IFERROR(F3/E3,"")</f>
        <v/>
      </c>
      <c r="Q3" s="7">
        <f>IFERROR(G3/F3,"")</f>
        <v/>
      </c>
      <c r="R3" s="7">
        <f>IFERROR(H3/G3,"")</f>
        <v/>
      </c>
      <c r="S3" s="7">
        <f>IFERROR(I3/H3,"")</f>
        <v/>
      </c>
      <c r="T3" s="7">
        <f>IFERROR(I3/G3,"")</f>
        <v/>
      </c>
      <c r="U3" s="7">
        <f>IFERROR(K3/J3,"")</f>
        <v/>
      </c>
      <c r="V3" s="8">
        <f>IFERROR(L3/D3,"")</f>
        <v/>
      </c>
      <c r="W3" s="9">
        <f>IFERROR(B3/L3,"")</f>
        <v/>
      </c>
    </row>
    <row r="4" ht="20" customHeight="1">
      <c r="A4" s="4" t="inlineStr">
        <is>
          <t>9月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>
        <f>IFERROR(IF(COUNT(I4:K4)=0,"",SUM(I4,K4)),"")</f>
        <v/>
      </c>
      <c r="M4" s="6">
        <f>IFERROR(C4/B4,"")</f>
        <v/>
      </c>
      <c r="N4" s="7">
        <f>IFERROR(D4/C4,"")</f>
        <v/>
      </c>
      <c r="O4" s="7">
        <f>IFERROR(E4/D4,"")</f>
        <v/>
      </c>
      <c r="P4" s="7">
        <f>IFERROR(F4/E4,"")</f>
        <v/>
      </c>
      <c r="Q4" s="7">
        <f>IFERROR(G4/F4,"")</f>
        <v/>
      </c>
      <c r="R4" s="7">
        <f>IFERROR(H4/G4,"")</f>
        <v/>
      </c>
      <c r="S4" s="7">
        <f>IFERROR(I4/H4,"")</f>
        <v/>
      </c>
      <c r="T4" s="7">
        <f>IFERROR(I4/G4,"")</f>
        <v/>
      </c>
      <c r="U4" s="7">
        <f>IFERROR(K4/J4,"")</f>
        <v/>
      </c>
      <c r="V4" s="8">
        <f>IFERROR(L4/D4,"")</f>
        <v/>
      </c>
      <c r="W4" s="9">
        <f>IFERROR(B4/L4,"")</f>
        <v/>
      </c>
    </row>
    <row r="5" ht="20" customHeight="1">
      <c r="A5" s="4" t="inlineStr">
        <is>
          <t>10月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>
        <f>IFERROR(IF(COUNT(I5:K5)=0,"",SUM(I5,K5)),"")</f>
        <v/>
      </c>
      <c r="M5" s="6">
        <f>IFERROR(C5/B5,"")</f>
        <v/>
      </c>
      <c r="N5" s="7">
        <f>IFERROR(D5/C5,"")</f>
        <v/>
      </c>
      <c r="O5" s="7">
        <f>IFERROR(E5/D5,"")</f>
        <v/>
      </c>
      <c r="P5" s="7">
        <f>IFERROR(F5/E5,"")</f>
        <v/>
      </c>
      <c r="Q5" s="7">
        <f>IFERROR(G5/F5,"")</f>
        <v/>
      </c>
      <c r="R5" s="7">
        <f>IFERROR(H5/G5,"")</f>
        <v/>
      </c>
      <c r="S5" s="7">
        <f>IFERROR(I5/H5,"")</f>
        <v/>
      </c>
      <c r="T5" s="7">
        <f>IFERROR(I5/G5,"")</f>
        <v/>
      </c>
      <c r="U5" s="7">
        <f>IFERROR(K5/J5,"")</f>
        <v/>
      </c>
      <c r="V5" s="8">
        <f>IFERROR(L5/D5,"")</f>
        <v/>
      </c>
      <c r="W5" s="9">
        <f>IFERROR(B5/L5,"")</f>
        <v/>
      </c>
    </row>
    <row r="6" ht="20" customHeight="1">
      <c r="A6" s="4" t="inlineStr">
        <is>
          <t>11月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>
        <f>IFERROR(IF(COUNT(I6:K6)=0,"",SUM(I6,K6)),"")</f>
        <v/>
      </c>
      <c r="M6" s="6">
        <f>IFERROR(C6/B6,"")</f>
        <v/>
      </c>
      <c r="N6" s="7">
        <f>IFERROR(D6/C6,"")</f>
        <v/>
      </c>
      <c r="O6" s="7">
        <f>IFERROR(E6/D6,"")</f>
        <v/>
      </c>
      <c r="P6" s="7">
        <f>IFERROR(F6/E6,"")</f>
        <v/>
      </c>
      <c r="Q6" s="7">
        <f>IFERROR(G6/F6,"")</f>
        <v/>
      </c>
      <c r="R6" s="7">
        <f>IFERROR(H6/G6,"")</f>
        <v/>
      </c>
      <c r="S6" s="7">
        <f>IFERROR(I6/H6,"")</f>
        <v/>
      </c>
      <c r="T6" s="7">
        <f>IFERROR(I6/G6,"")</f>
        <v/>
      </c>
      <c r="U6" s="7">
        <f>IFERROR(K6/J6,"")</f>
        <v/>
      </c>
      <c r="V6" s="8">
        <f>IFERROR(L6/D6,"")</f>
        <v/>
      </c>
      <c r="W6" s="9">
        <f>IFERROR(B6/L6,"")</f>
        <v/>
      </c>
    </row>
    <row r="7" ht="20" customHeight="1">
      <c r="A7" s="4" t="inlineStr">
        <is>
          <t>12月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6">
        <f>IFERROR(IF(COUNT(I7:K7)=0,"",SUM(I7,K7)),"")</f>
        <v/>
      </c>
      <c r="M7" s="6">
        <f>IFERROR(C7/B7,"")</f>
        <v/>
      </c>
      <c r="N7" s="7">
        <f>IFERROR(D7/C7,"")</f>
        <v/>
      </c>
      <c r="O7" s="7">
        <f>IFERROR(E7/D7,"")</f>
        <v/>
      </c>
      <c r="P7" s="7">
        <f>IFERROR(F7/E7,"")</f>
        <v/>
      </c>
      <c r="Q7" s="7">
        <f>IFERROR(G7/F7,"")</f>
        <v/>
      </c>
      <c r="R7" s="7">
        <f>IFERROR(H7/G7,"")</f>
        <v/>
      </c>
      <c r="S7" s="7">
        <f>IFERROR(I7/H7,"")</f>
        <v/>
      </c>
      <c r="T7" s="7">
        <f>IFERROR(I7/G7,"")</f>
        <v/>
      </c>
      <c r="U7" s="7">
        <f>IFERROR(K7/J7,"")</f>
        <v/>
      </c>
      <c r="V7" s="8">
        <f>IFERROR(L7/D7,"")</f>
        <v/>
      </c>
      <c r="W7" s="9">
        <f>IFERROR(B7/L7,"")</f>
        <v/>
      </c>
    </row>
    <row r="8" ht="20" customHeight="1">
      <c r="A8" s="4" t="inlineStr">
        <is>
          <t>1月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>
        <f>IFERROR(IF(COUNT(I8:K8)=0,"",SUM(I8,K8)),"")</f>
        <v/>
      </c>
      <c r="M8" s="6">
        <f>IFERROR(C8/B8,"")</f>
        <v/>
      </c>
      <c r="N8" s="7">
        <f>IFERROR(D8/C8,"")</f>
        <v/>
      </c>
      <c r="O8" s="7">
        <f>IFERROR(E8/D8,"")</f>
        <v/>
      </c>
      <c r="P8" s="7">
        <f>IFERROR(F8/E8,"")</f>
        <v/>
      </c>
      <c r="Q8" s="7">
        <f>IFERROR(G8/F8,"")</f>
        <v/>
      </c>
      <c r="R8" s="7">
        <f>IFERROR(H8/G8,"")</f>
        <v/>
      </c>
      <c r="S8" s="7">
        <f>IFERROR(I8/H8,"")</f>
        <v/>
      </c>
      <c r="T8" s="7">
        <f>IFERROR(I8/G8,"")</f>
        <v/>
      </c>
      <c r="U8" s="7">
        <f>IFERROR(K8/J8,"")</f>
        <v/>
      </c>
      <c r="V8" s="8">
        <f>IFERROR(L8/D8,"")</f>
        <v/>
      </c>
      <c r="W8" s="9">
        <f>IFERROR(B8/L8,"")</f>
        <v/>
      </c>
    </row>
    <row r="9" ht="20" customHeight="1">
      <c r="A9" s="4" t="inlineStr">
        <is>
          <t>2月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>
        <f>IFERROR(IF(COUNT(I9:K9)=0,"",SUM(I9,K9)),"")</f>
        <v/>
      </c>
      <c r="M9" s="6">
        <f>IFERROR(C9/B9,"")</f>
        <v/>
      </c>
      <c r="N9" s="7">
        <f>IFERROR(D9/C9,"")</f>
        <v/>
      </c>
      <c r="O9" s="7">
        <f>IFERROR(E9/D9,"")</f>
        <v/>
      </c>
      <c r="P9" s="7">
        <f>IFERROR(F9/E9,"")</f>
        <v/>
      </c>
      <c r="Q9" s="7">
        <f>IFERROR(G9/F9,"")</f>
        <v/>
      </c>
      <c r="R9" s="7">
        <f>IFERROR(H9/G9,"")</f>
        <v/>
      </c>
      <c r="S9" s="7">
        <f>IFERROR(I9/H9,"")</f>
        <v/>
      </c>
      <c r="T9" s="7">
        <f>IFERROR(I9/G9,"")</f>
        <v/>
      </c>
      <c r="U9" s="7">
        <f>IFERROR(K9/J9,"")</f>
        <v/>
      </c>
      <c r="V9" s="8">
        <f>IFERROR(L9/D9,"")</f>
        <v/>
      </c>
      <c r="W9" s="9">
        <f>IFERROR(B9/L9,"")</f>
        <v/>
      </c>
    </row>
    <row r="10" ht="20" customHeight="1">
      <c r="A10" s="4" t="inlineStr">
        <is>
          <t>3月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6">
        <f>IFERROR(IF(COUNT(I10:K10)=0,"",SUM(I10,K10)),"")</f>
        <v/>
      </c>
      <c r="M10" s="6">
        <f>IFERROR(C10/B10,"")</f>
        <v/>
      </c>
      <c r="N10" s="7">
        <f>IFERROR(D10/C10,"")</f>
        <v/>
      </c>
      <c r="O10" s="7">
        <f>IFERROR(E10/D10,"")</f>
        <v/>
      </c>
      <c r="P10" s="7">
        <f>IFERROR(F10/E10,"")</f>
        <v/>
      </c>
      <c r="Q10" s="7">
        <f>IFERROR(G10/F10,"")</f>
        <v/>
      </c>
      <c r="R10" s="7">
        <f>IFERROR(H10/G10,"")</f>
        <v/>
      </c>
      <c r="S10" s="7">
        <f>IFERROR(I10/H10,"")</f>
        <v/>
      </c>
      <c r="T10" s="7">
        <f>IFERROR(I10/G10,"")</f>
        <v/>
      </c>
      <c r="U10" s="7">
        <f>IFERROR(K10/J10,"")</f>
        <v/>
      </c>
      <c r="V10" s="8">
        <f>IFERROR(L10/D10,"")</f>
        <v/>
      </c>
      <c r="W10" s="9">
        <f>IFERROR(B10/L10,"")</f>
        <v/>
      </c>
    </row>
    <row r="11" ht="20" customHeight="1">
      <c r="A11" s="4" t="inlineStr">
        <is>
          <t>4月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6">
        <f>IFERROR(IF(COUNT(I11:K11)=0,"",SUM(I11,K11)),"")</f>
        <v/>
      </c>
      <c r="M11" s="6">
        <f>IFERROR(C11/B11,"")</f>
        <v/>
      </c>
      <c r="N11" s="7">
        <f>IFERROR(D11/C11,"")</f>
        <v/>
      </c>
      <c r="O11" s="7">
        <f>IFERROR(E11/D11,"")</f>
        <v/>
      </c>
      <c r="P11" s="7">
        <f>IFERROR(F11/E11,"")</f>
        <v/>
      </c>
      <c r="Q11" s="7">
        <f>IFERROR(G11/F11,"")</f>
        <v/>
      </c>
      <c r="R11" s="7">
        <f>IFERROR(H11/G11,"")</f>
        <v/>
      </c>
      <c r="S11" s="7">
        <f>IFERROR(I11/H11,"")</f>
        <v/>
      </c>
      <c r="T11" s="7">
        <f>IFERROR(I11/G11,"")</f>
        <v/>
      </c>
      <c r="U11" s="7">
        <f>IFERROR(K11/J11,"")</f>
        <v/>
      </c>
      <c r="V11" s="8">
        <f>IFERROR(L11/D11,"")</f>
        <v/>
      </c>
      <c r="W11" s="9">
        <f>IFERROR(B11/L11,"")</f>
        <v/>
      </c>
    </row>
    <row r="12" ht="20" customHeight="1">
      <c r="A12" s="4" t="inlineStr">
        <is>
          <t>5月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>
        <f>IFERROR(IF(COUNT(I12:K12)=0,"",SUM(I12,K12)),"")</f>
        <v/>
      </c>
      <c r="M12" s="6">
        <f>IFERROR(C12/B12,"")</f>
        <v/>
      </c>
      <c r="N12" s="7">
        <f>IFERROR(D12/C12,"")</f>
        <v/>
      </c>
      <c r="O12" s="7">
        <f>IFERROR(E12/D12,"")</f>
        <v/>
      </c>
      <c r="P12" s="7">
        <f>IFERROR(F12/E12,"")</f>
        <v/>
      </c>
      <c r="Q12" s="7">
        <f>IFERROR(G12/F12,"")</f>
        <v/>
      </c>
      <c r="R12" s="7">
        <f>IFERROR(H12/G12,"")</f>
        <v/>
      </c>
      <c r="S12" s="7">
        <f>IFERROR(I12/H12,"")</f>
        <v/>
      </c>
      <c r="T12" s="7">
        <f>IFERROR(I12/G12,"")</f>
        <v/>
      </c>
      <c r="U12" s="7">
        <f>IFERROR(K12/J12,"")</f>
        <v/>
      </c>
      <c r="V12" s="8">
        <f>IFERROR(L12/D12,"")</f>
        <v/>
      </c>
      <c r="W12" s="9">
        <f>IFERROR(B12/L12,"")</f>
        <v/>
      </c>
    </row>
    <row r="13" ht="20" customHeight="1">
      <c r="A13" s="4" t="inlineStr">
        <is>
          <t>6月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6">
        <f>IFERROR(IF(COUNT(I13:K13)=0,"",SUM(I13,K13)),"")</f>
        <v/>
      </c>
      <c r="M13" s="6">
        <f>IFERROR(C13/B13,"")</f>
        <v/>
      </c>
      <c r="N13" s="7">
        <f>IFERROR(D13/C13,"")</f>
        <v/>
      </c>
      <c r="O13" s="7">
        <f>IFERROR(E13/D13,"")</f>
        <v/>
      </c>
      <c r="P13" s="7">
        <f>IFERROR(F13/E13,"")</f>
        <v/>
      </c>
      <c r="Q13" s="7">
        <f>IFERROR(G13/F13,"")</f>
        <v/>
      </c>
      <c r="R13" s="7">
        <f>IFERROR(H13/G13,"")</f>
        <v/>
      </c>
      <c r="S13" s="7">
        <f>IFERROR(I13/H13,"")</f>
        <v/>
      </c>
      <c r="T13" s="7">
        <f>IFERROR(I13/G13,"")</f>
        <v/>
      </c>
      <c r="U13" s="7">
        <f>IFERROR(K13/J13,"")</f>
        <v/>
      </c>
      <c r="V13" s="8">
        <f>IFERROR(L13/D13,"")</f>
        <v/>
      </c>
      <c r="W13" s="9">
        <f>IFERROR(B13/L13,"")</f>
        <v/>
      </c>
    </row>
    <row r="14" ht="20" customHeight="1">
      <c r="A14" s="4" t="inlineStr">
        <is>
          <t>7月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6">
        <f>IFERROR(IF(COUNT(I14:K14)=0,"",SUM(I14,K14)),"")</f>
        <v/>
      </c>
      <c r="M14" s="6">
        <f>IFERROR(C14/B14,"")</f>
        <v/>
      </c>
      <c r="N14" s="7">
        <f>IFERROR(D14/C14,"")</f>
        <v/>
      </c>
      <c r="O14" s="7">
        <f>IFERROR(E14/D14,"")</f>
        <v/>
      </c>
      <c r="P14" s="7">
        <f>IFERROR(F14/E14,"")</f>
        <v/>
      </c>
      <c r="Q14" s="7">
        <f>IFERROR(G14/F14,"")</f>
        <v/>
      </c>
      <c r="R14" s="7">
        <f>IFERROR(H14/G14,"")</f>
        <v/>
      </c>
      <c r="S14" s="7">
        <f>IFERROR(I14/H14,"")</f>
        <v/>
      </c>
      <c r="T14" s="7">
        <f>IFERROR(I14/G14,"")</f>
        <v/>
      </c>
      <c r="U14" s="7">
        <f>IFERROR(K14/J14,"")</f>
        <v/>
      </c>
      <c r="V14" s="8">
        <f>IFERROR(L14/D14,"")</f>
        <v/>
      </c>
      <c r="W14" s="9">
        <f>IFERROR(B14/L14,"")</f>
        <v/>
      </c>
    </row>
    <row r="15" ht="20" customHeight="1">
      <c r="A15" s="4" t="inlineStr">
        <is>
          <t>8月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6">
        <f>IFERROR(IF(COUNT(I15:K15)=0,"",SUM(I15,K15)),"")</f>
        <v/>
      </c>
      <c r="M15" s="6">
        <f>IFERROR(C15/B15,"")</f>
        <v/>
      </c>
      <c r="N15" s="7">
        <f>IFERROR(D15/C15,"")</f>
        <v/>
      </c>
      <c r="O15" s="7">
        <f>IFERROR(E15/D15,"")</f>
        <v/>
      </c>
      <c r="P15" s="7">
        <f>IFERROR(F15/E15,"")</f>
        <v/>
      </c>
      <c r="Q15" s="7">
        <f>IFERROR(G15/F15,"")</f>
        <v/>
      </c>
      <c r="R15" s="7">
        <f>IFERROR(H15/G15,"")</f>
        <v/>
      </c>
      <c r="S15" s="7">
        <f>IFERROR(I15/H15,"")</f>
        <v/>
      </c>
      <c r="T15" s="7">
        <f>IFERROR(I15/G15,"")</f>
        <v/>
      </c>
      <c r="U15" s="7">
        <f>IFERROR(K15/J15,"")</f>
        <v/>
      </c>
      <c r="V15" s="8">
        <f>IFERROR(L15/D15,"")</f>
        <v/>
      </c>
      <c r="W15" s="9">
        <f>IFERROR(B15/L15,"")</f>
        <v/>
      </c>
    </row>
    <row r="16" ht="20" customHeight="1">
      <c r="A16" s="10" t="inlineStr">
        <is>
          <t>合計</t>
        </is>
      </c>
      <c r="B16" s="11">
        <f>IFERROR(IF(COUNT(B3:B15)=0,"",SUM(B3:B15)),"")</f>
        <v/>
      </c>
      <c r="C16" s="11">
        <f>IFERROR(IF(COUNT(C3:C15)=0,"",SUM(C3:C15)),"")</f>
        <v/>
      </c>
      <c r="D16" s="11">
        <f>IFERROR(IF(COUNT(D3:D15)=0,"",SUM(D3:D15)),"")</f>
        <v/>
      </c>
      <c r="E16" s="11">
        <f>IFERROR(IF(COUNT(E3:E15)=0,"",SUM(E3:E15)),"")</f>
        <v/>
      </c>
      <c r="F16" s="11">
        <f>IFERROR(IF(COUNT(F3:F15)=0,"",SUM(F3:F15)),"")</f>
        <v/>
      </c>
      <c r="G16" s="11">
        <f>IFERROR(IF(COUNT(G3:G15)=0,"",SUM(G3:G15)),"")</f>
        <v/>
      </c>
      <c r="H16" s="11">
        <f>IFERROR(IF(COUNT(H3:H15)=0,"",SUM(H3:H15)),"")</f>
        <v/>
      </c>
      <c r="I16" s="11">
        <f>IFERROR(IF(COUNT(I3:I15)=0,"",SUM(I3:I15)),"")</f>
        <v/>
      </c>
      <c r="J16" s="11">
        <f>IFERROR(IF(COUNT(J3:J15)=0,"",SUM(J3:J15)),"")</f>
        <v/>
      </c>
      <c r="K16" s="11">
        <f>IFERROR(IF(COUNT(K3:K15)=0,"",SUM(K3:K15)),"")</f>
        <v/>
      </c>
      <c r="L16" s="11">
        <f>IFERROR(IF(COUNT(L3:L15)=0,"",SUM(L3:L15)),"")</f>
        <v/>
      </c>
      <c r="M16" s="11">
        <f>IFERROR(C16/B16,"")</f>
        <v/>
      </c>
      <c r="N16" s="12">
        <f>IFERROR(D16/C16,"")</f>
        <v/>
      </c>
      <c r="O16" s="12">
        <f>IFERROR(E16/D16,"")</f>
        <v/>
      </c>
      <c r="P16" s="12">
        <f>IFERROR(F16/E16,"")</f>
        <v/>
      </c>
      <c r="Q16" s="12">
        <f>IFERROR(G16/F16,"")</f>
        <v/>
      </c>
      <c r="R16" s="12">
        <f>IFERROR(H16/G16,"")</f>
        <v/>
      </c>
      <c r="S16" s="12">
        <f>IFERROR(I16/H16,"")</f>
        <v/>
      </c>
      <c r="T16" s="12">
        <f>IFERROR(I16/G16,"")</f>
        <v/>
      </c>
      <c r="U16" s="12">
        <f>IFERROR(K16/J16,"")</f>
        <v/>
      </c>
      <c r="V16" s="13">
        <f>IFERROR(L16/D16,"")</f>
        <v/>
      </c>
      <c r="W16" s="14">
        <f>IFERROR(B16/L16,"")</f>
        <v/>
      </c>
    </row>
    <row r="17" ht="20" customHeight="1">
      <c r="A17" s="15" t="inlineStr">
        <is>
          <t>平均</t>
        </is>
      </c>
      <c r="B17" s="16">
        <f>IFERROR(IF(COUNT(B3:B15)=0,"",AVERAGE(B3:B15)),"")</f>
        <v/>
      </c>
      <c r="C17" s="16">
        <f>IFERROR(IF(COUNT(C3:C15)=0,"",AVERAGE(C3:C15)),"")</f>
        <v/>
      </c>
      <c r="D17" s="16">
        <f>IFERROR(IF(COUNT(D3:D15)=0,"",AVERAGE(D3:D15)),"")</f>
        <v/>
      </c>
      <c r="E17" s="16">
        <f>IFERROR(IF(COUNT(E3:E15)=0,"",AVERAGE(E3:E15)),"")</f>
        <v/>
      </c>
      <c r="F17" s="16">
        <f>IFERROR(IF(COUNT(F3:F15)=0,"",AVERAGE(F3:F15)),"")</f>
        <v/>
      </c>
      <c r="G17" s="16">
        <f>IFERROR(IF(COUNT(G3:G15)=0,"",AVERAGE(G3:G15)),"")</f>
        <v/>
      </c>
      <c r="H17" s="16">
        <f>IFERROR(IF(COUNT(H3:H15)=0,"",AVERAGE(H3:H15)),"")</f>
        <v/>
      </c>
      <c r="I17" s="16">
        <f>IFERROR(IF(COUNT(I3:I15)=0,"",AVERAGE(I3:I15)),"")</f>
        <v/>
      </c>
      <c r="J17" s="16">
        <f>IFERROR(IF(COUNT(J3:J15)=0,"",AVERAGE(J3:J15)),"")</f>
        <v/>
      </c>
      <c r="K17" s="16">
        <f>IFERROR(IF(COUNT(K3:K15)=0,"",AVERAGE(K3:K15)),"")</f>
        <v/>
      </c>
      <c r="L17" s="16">
        <f>IFERROR(IF(COUNT(L3:L15)=0,"",AVERAGE(L3:L15)),"")</f>
        <v/>
      </c>
      <c r="M17" s="17">
        <f>IFERROR(IF(COUNT(M3:M15)=0,"",AVERAGE(M3:M15)),"")</f>
        <v/>
      </c>
      <c r="N17" s="18">
        <f>IFERROR(IF(COUNT(N3:N15)=0,"",AVERAGE(N3:N15)),"")</f>
        <v/>
      </c>
      <c r="O17" s="18">
        <f>IFERROR(IF(COUNT(O3:O15)=0,"",AVERAGE(O3:O15)),"")</f>
        <v/>
      </c>
      <c r="P17" s="18">
        <f>IFERROR(IF(COUNT(P3:P15)=0,"",AVERAGE(P3:P15)),"")</f>
        <v/>
      </c>
      <c r="Q17" s="18">
        <f>IFERROR(IF(COUNT(Q3:Q15)=0,"",AVERAGE(Q3:Q15)),"")</f>
        <v/>
      </c>
      <c r="R17" s="18">
        <f>IFERROR(IF(COUNT(R3:R15)=0,"",AVERAGE(R3:R15)),"")</f>
        <v/>
      </c>
      <c r="S17" s="18">
        <f>IFERROR(IF(COUNT(S3:S15)=0,"",AVERAGE(S3:S15)),"")</f>
        <v/>
      </c>
      <c r="T17" s="18">
        <f>IFERROR(IF(COUNT(T3:T15)=0,"",AVERAGE(T3:T15)),"")</f>
        <v/>
      </c>
      <c r="U17" s="18">
        <f>IFERROR(IF(COUNT(U3:U15)=0,"",AVERAGE(U3:U15)),"")</f>
        <v/>
      </c>
      <c r="V17" s="19">
        <f>IFERROR(IF(COUNT(V3:V15)=0,"",AVERAGE(V3:V15)),"")</f>
        <v/>
      </c>
      <c r="W17" s="16">
        <f>IFERROR(IF(COUNT(W3:W15)=0,"",AVERAGE(W3:W15)),"")</f>
        <v/>
      </c>
    </row>
  </sheetData>
  <autoFilter ref="A2:W15"/>
  <mergeCells count="1">
    <mergeCell ref="A1:W1"/>
  </mergeCells>
  <conditionalFormatting sqref="N3:N15">
    <cfRule type="cellIs" priority="1" operator="greaterThan" dxfId="0">
      <formula>AVERAGE($N$3:$N$15)</formula>
    </cfRule>
    <cfRule type="cellIs" priority="2" operator="lessThan" dxfId="1">
      <formula>AVERAGE($N$3:$N$15)</formula>
    </cfRule>
  </conditionalFormatting>
  <conditionalFormatting sqref="O3:O15">
    <cfRule type="cellIs" priority="3" operator="greaterThan" dxfId="0">
      <formula>AVERAGE($O$3:$O$15)</formula>
    </cfRule>
    <cfRule type="cellIs" priority="4" operator="lessThan" dxfId="1">
      <formula>AVERAGE($O$3:$O$15)</formula>
    </cfRule>
  </conditionalFormatting>
  <conditionalFormatting sqref="P3:P15">
    <cfRule type="cellIs" priority="5" operator="greaterThan" dxfId="0">
      <formula>AVERAGE($P$3:$P$15)</formula>
    </cfRule>
    <cfRule type="cellIs" priority="6" operator="lessThan" dxfId="1">
      <formula>AVERAGE($P$3:$P$15)</formula>
    </cfRule>
  </conditionalFormatting>
  <conditionalFormatting sqref="Q3:Q15">
    <cfRule type="cellIs" priority="7" operator="greaterThan" dxfId="0">
      <formula>AVERAGE($Q$3:$Q$15)</formula>
    </cfRule>
    <cfRule type="cellIs" priority="8" operator="lessThan" dxfId="1">
      <formula>AVERAGE($Q$3:$Q$15)</formula>
    </cfRule>
  </conditionalFormatting>
  <conditionalFormatting sqref="R3:R15">
    <cfRule type="cellIs" priority="9" operator="greaterThan" dxfId="0">
      <formula>AVERAGE($R$3:$R$15)</formula>
    </cfRule>
    <cfRule type="cellIs" priority="10" operator="lessThan" dxfId="1">
      <formula>AVERAGE($R$3:$R$15)</formula>
    </cfRule>
  </conditionalFormatting>
  <conditionalFormatting sqref="S3:S15">
    <cfRule type="cellIs" priority="11" operator="greaterThan" dxfId="0">
      <formula>AVERAGE($S$3:$S$15)</formula>
    </cfRule>
    <cfRule type="cellIs" priority="12" operator="lessThan" dxfId="1">
      <formula>AVERAGE($S$3:$S$15)</formula>
    </cfRule>
  </conditionalFormatting>
  <conditionalFormatting sqref="T3:T15">
    <cfRule type="cellIs" priority="13" operator="greaterThan" dxfId="0">
      <formula>AVERAGE($T$3:$T$15)</formula>
    </cfRule>
    <cfRule type="cellIs" priority="14" operator="lessThan" dxfId="1">
      <formula>AVERAGE($T$3:$T$15)</formula>
    </cfRule>
  </conditionalFormatting>
  <conditionalFormatting sqref="U3:U15">
    <cfRule type="cellIs" priority="15" operator="greaterThan" dxfId="0">
      <formula>AVERAGE($U$3:$U$15)</formula>
    </cfRule>
    <cfRule type="cellIs" priority="16" operator="lessThan" dxfId="1">
      <formula>AVERAGE($U$3:$U$15)</formula>
    </cfRule>
  </conditionalFormatting>
  <conditionalFormatting sqref="V3:V15">
    <cfRule type="cellIs" priority="17" operator="greaterThan" dxfId="0">
      <formula>AVERAGE($V$3:$V$15)</formula>
    </cfRule>
    <cfRule type="cellIs" priority="18" operator="lessThan" dxfId="1">
      <formula>AVERAGE($V$3:$V$15)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2" customWidth="1" min="3" max="3"/>
  </cols>
  <sheetData>
    <row r="1" ht="24" customHeight="1">
      <c r="A1" s="20" t="inlineStr">
        <is>
          <t>指標の定義（率はすべて自動計算。入力欄が空なら空欄のまま）</t>
        </is>
      </c>
    </row>
    <row r="3">
      <c r="A3" s="21" t="inlineStr">
        <is>
          <t>列</t>
        </is>
      </c>
      <c r="B3" s="21" t="inlineStr">
        <is>
          <t>指標</t>
        </is>
      </c>
      <c r="C3" s="21" t="inlineStr">
        <is>
          <t>計算式・意味</t>
        </is>
      </c>
    </row>
    <row r="4">
      <c r="A4" s="22" t="inlineStr">
        <is>
          <t>B〜K</t>
        </is>
      </c>
      <c r="B4" s="23" t="inlineStr">
        <is>
          <t>入力欄</t>
        </is>
      </c>
      <c r="C4" s="22" t="inlineStr">
        <is>
          <t>毎月の実数を手で入れる（インサイト・LINE・面接記録から転記）</t>
        </is>
      </c>
    </row>
    <row r="5">
      <c r="A5" s="22" t="inlineStr">
        <is>
          <t>L</t>
        </is>
      </c>
      <c r="B5" s="23" t="inlineStr">
        <is>
          <t>採用数 合計</t>
        </is>
      </c>
      <c r="C5" s="22" t="inlineStr">
        <is>
          <t>採用数(LINE経由) ＋ 採用数(その他経由)</t>
        </is>
      </c>
    </row>
    <row r="6">
      <c r="A6" s="22" t="inlineStr">
        <is>
          <t>M</t>
        </is>
      </c>
      <c r="B6" s="23" t="inlineStr">
        <is>
          <t>1投稿あたりインプ</t>
        </is>
      </c>
      <c r="C6" s="22" t="inlineStr">
        <is>
          <t>インプレッション ÷ 投稿数。投稿の平均パワー</t>
        </is>
      </c>
    </row>
    <row r="7">
      <c r="A7" s="22" t="inlineStr">
        <is>
          <t>N</t>
        </is>
      </c>
      <c r="B7" s="23" t="inlineStr">
        <is>
          <t>リーチ率</t>
        </is>
      </c>
      <c r="C7" s="22" t="inlineStr">
        <is>
          <t>リーチ数 ÷ インプレッション。低いと同じ人に何度も出ている</t>
        </is>
      </c>
    </row>
    <row r="8">
      <c r="A8" s="22" t="inlineStr">
        <is>
          <t>O</t>
        </is>
      </c>
      <c r="B8" s="23" t="inlineStr">
        <is>
          <t>プロフアクセス率</t>
        </is>
      </c>
      <c r="C8" s="22" t="inlineStr">
        <is>
          <t>プロフアクセス数 ÷ リーチ数。投稿→プロフの興味喚起力</t>
        </is>
      </c>
    </row>
    <row r="9">
      <c r="A9" s="22" t="inlineStr">
        <is>
          <t>P</t>
        </is>
      </c>
      <c r="B9" s="23" t="inlineStr">
        <is>
          <t>リンクタップ率</t>
        </is>
      </c>
      <c r="C9" s="22" t="inlineStr">
        <is>
          <t>リンクタップ数 ÷ プロフアクセス数。プロフ文とハイライトの出来</t>
        </is>
      </c>
    </row>
    <row r="10">
      <c r="A10" s="22" t="inlineStr">
        <is>
          <t>Q</t>
        </is>
      </c>
      <c r="B10" s="23" t="inlineStr">
        <is>
          <t>LINE登録率</t>
        </is>
      </c>
      <c r="C10" s="22" t="inlineStr">
        <is>
          <t>LINE登録 ÷ リンクタップ数。LP・登録導線の出来</t>
        </is>
      </c>
    </row>
    <row r="11">
      <c r="A11" s="22" t="inlineStr">
        <is>
          <t>R</t>
        </is>
      </c>
      <c r="B11" s="23" t="inlineStr">
        <is>
          <t>面接率</t>
        </is>
      </c>
      <c r="C11" s="22" t="inlineStr">
        <is>
          <t>面接 ÷ LINE登録。LINE内トークの出来</t>
        </is>
      </c>
    </row>
    <row r="12">
      <c r="A12" s="22" t="inlineStr">
        <is>
          <t>S</t>
        </is>
      </c>
      <c r="B12" s="23" t="inlineStr">
        <is>
          <t>採用率</t>
        </is>
      </c>
      <c r="C12" s="22" t="inlineStr">
        <is>
          <t>採用数(LINE経由) ÷ 面接。面接の見極め・訴求力</t>
        </is>
      </c>
    </row>
    <row r="13">
      <c r="A13" s="22" t="inlineStr">
        <is>
          <t>T</t>
        </is>
      </c>
      <c r="B13" s="23" t="inlineStr">
        <is>
          <t>LINE→採用率</t>
        </is>
      </c>
      <c r="C13" s="22" t="inlineStr">
        <is>
          <t>採用数(LINE経由) ÷ LINE登録。LINE1件の価値</t>
        </is>
      </c>
    </row>
    <row r="14">
      <c r="A14" s="22" t="inlineStr">
        <is>
          <t>U</t>
        </is>
      </c>
      <c r="B14" s="23" t="inlineStr">
        <is>
          <t>その他採用率</t>
        </is>
      </c>
      <c r="C14" s="22" t="inlineStr">
        <is>
          <t>採用数(その他経由) ÷ その他問い合わせ</t>
        </is>
      </c>
    </row>
    <row r="15">
      <c r="A15" s="22" t="inlineStr">
        <is>
          <t>V</t>
        </is>
      </c>
      <c r="B15" s="23" t="inlineStr">
        <is>
          <t>リーチ→採用率</t>
        </is>
      </c>
      <c r="C15" s="22" t="inlineStr">
        <is>
          <t>採用数 合計 ÷ リーチ数。全体の最終CVR</t>
        </is>
      </c>
    </row>
    <row r="16">
      <c r="A16" s="22" t="inlineStr">
        <is>
          <t>W</t>
        </is>
      </c>
      <c r="B16" s="23" t="inlineStr">
        <is>
          <t>1採用あたり投稿数</t>
        </is>
      </c>
      <c r="C16" s="22" t="inlineStr">
        <is>
          <t>投稿数 ÷ 採用数 合計。1人採るのに必要な投稿本数</t>
        </is>
      </c>
    </row>
    <row r="17">
      <c r="A17" s="22" t="inlineStr"/>
      <c r="B17" s="23" t="inlineStr"/>
      <c r="C17" s="22" t="inlineStr"/>
    </row>
    <row r="18">
      <c r="A18" s="22" t="inlineStr">
        <is>
          <t>16行</t>
        </is>
      </c>
      <c r="B18" s="23" t="inlineStr">
        <is>
          <t>合計</t>
        </is>
      </c>
      <c r="C18" s="22" t="inlineStr">
        <is>
          <t>実数は年間合計、率は「合計値どうしを割り直した通期の率」</t>
        </is>
      </c>
    </row>
    <row r="19">
      <c r="A19" s="22" t="inlineStr">
        <is>
          <t>17行</t>
        </is>
      </c>
      <c r="B19" s="23" t="inlineStr">
        <is>
          <t>平均</t>
        </is>
      </c>
      <c r="C19" s="22" t="inlineStr">
        <is>
          <t>実数は月平均、率は各月の率の単純平均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2026-08-30T12:48:58Z</dcterms:created>
  <dcterms:modified xsi:type="dcterms:W3CDTF">2026-08-30T12:48:58Z</dcterms:modified>
</cp:coreProperties>
</file>